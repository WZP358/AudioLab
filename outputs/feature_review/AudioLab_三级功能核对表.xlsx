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d6527aa63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级功能核对表" sheetId="1" r:id="R0f2fe474e8b24150"/>
    <x:sheet xmlns:r="http://schemas.openxmlformats.org/officeDocument/2006/relationships" name="判定说明" sheetId="2" r:id="R66d436f82a47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1F4E78"/>
      <x:name val="Arial"/>
    </x:font>
    <x:font>
      <x:sz val="10"/>
      <x:color rgb="FF1F2937"/>
      <x:name val="Arial"/>
    </x:font>
    <x:font>
      <x:b/>
      <x:sz val="10"/>
      <x:color rgb="FF9A34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D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8016269f54bd2" /><Relationship Type="http://schemas.openxmlformats.org/officeDocument/2006/relationships/theme" Target="/xl/theme/theme1.xml" Id="R544b7d86503f4037" /><Relationship Type="http://schemas.openxmlformats.org/officeDocument/2006/relationships/sharedStrings" Target="/xl/sharedStrings.xml" Id="Rca1acd8bd8534b48" /><Relationship Type="http://schemas.openxmlformats.org/officeDocument/2006/relationships/worksheet" Target="/xl/worksheets/sheet1.xml" Id="R0f2fe474e8b24150" /><Relationship Type="http://schemas.openxmlformats.org/officeDocument/2006/relationships/worksheet" Target="/xl/worksheets/sheet2.xml" Id="R66d436f82a474b68" /></Relationships>
</file>

<file path=xl/tables/table1.xml><?xml version="1.0" encoding="utf-8"?>
<x:table xmlns:x="http://schemas.openxmlformats.org/spreadsheetml/2006/main" id="1" name="FeatureAcceptanceTable" displayName="FeatureAcceptanceTable" ref="A4:J37" headerRowCount="1" totalsRowCount="0" totalsRowShown="0">
  <x:tableColumns count="10">
    <x:tableColumn id="1" name="一级模块"/>
    <x:tableColumn id="2" name="二级功能"/>
    <x:tableColumn id="3" name="三级验收点"/>
    <x:tableColumn id="4" name="当前状态"/>
    <x:tableColumn id="5" name="是否满足老师要求"/>
    <x:tableColumn id="6" name="代码/接口证据"/>
    <x:tableColumn id="7" name="实际缺口"/>
    <x:tableColumn id="8" name="验收方式"/>
    <x:tableColumn id="9" name="优先级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1bc81307fe48c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3" hidden="0" customWidth="1"/>
    <x:col min="5" max="5" width="13" hidden="0" customWidth="1"/>
    <x:col min="6" max="6" width="34" hidden="0" customWidth="1"/>
    <x:col min="7" max="7" width="34" hidden="0" customWidth="1"/>
    <x:col min="8" max="8" width="28" hidden="0" customWidth="1"/>
    <x:col min="9" max="9" width="9" hidden="0" customWidth="1"/>
    <x:col min="10" max="10" width="24" hidden="0" customWidth="1"/>
  </x:cols>
  <x:sheetData>
    <x:row r="1" ht="28" customHeight="1">
      <x:c r="A1" s="1" t="str">
        <x:v>AudioLab 专利项目三级功能核对表</x:v>
      </x:c>
      <x:c r="B1" s="1" t="str">
        <x:v>AudioLab 专利项目三级功能核对表</x:v>
      </x:c>
      <x:c r="C1" s="1" t="str">
        <x:v>AudioLab 专利项目三级功能核对表</x:v>
      </x:c>
      <x:c r="D1" s="1" t="str">
        <x:v>AudioLab 专利项目三级功能核对表</x:v>
      </x:c>
      <x:c r="E1" s="1" t="str">
        <x:v>AudioLab 专利项目三级功能核对表</x:v>
      </x:c>
      <x:c r="F1" s="1" t="str">
        <x:v>AudioLab 专利项目三级功能核对表</x:v>
      </x:c>
      <x:c r="G1" s="1" t="str">
        <x:v>AudioLab 专利项目三级功能核对表</x:v>
      </x:c>
      <x:c r="H1" s="1" t="str">
        <x:v>AudioLab 专利项目三级功能核对表</x:v>
      </x:c>
      <x:c r="I1" s="1" t="str">
        <x:v>AudioLab 专利项目三级功能核对表</x:v>
      </x:c>
      <x:c r="J1" s="1" t="str">
        <x:v>AudioLab 专利项目三级功能核对表</x:v>
      </x:c>
    </x:row>
    <x:row r="2" ht="24" customHeight="1">
      <x:c r="A2" s="3" t="str">
        <x:v>用途：按老师电话中的四项补充要求及对照页文档逐项验收。状态基于当前代码、接口和现有测试，不代表真实专家实验已经完成。</x:v>
      </x:c>
      <x:c r="B2" s="3" t="str">
        <x:v>用途：按老师电话中的四项补充要求及对照页文档逐项验收。状态基于当前代码、接口和现有测试，不代表真实专家实验已经完成。</x:v>
      </x:c>
      <x:c r="C2" s="3" t="str">
        <x:v>用途：按老师电话中的四项补充要求及对照页文档逐项验收。状态基于当前代码、接口和现有测试，不代表真实专家实验已经完成。</x:v>
      </x:c>
      <x:c r="D2" s="3" t="str">
        <x:v>用途：按老师电话中的四项补充要求及对照页文档逐项验收。状态基于当前代码、接口和现有测试，不代表真实专家实验已经完成。</x:v>
      </x:c>
      <x:c r="E2" s="3" t="str">
        <x:v>用途：按老师电话中的四项补充要求及对照页文档逐项验收。状态基于当前代码、接口和现有测试，不代表真实专家实验已经完成。</x:v>
      </x:c>
      <x:c r="F2" s="3" t="str">
        <x:v>用途：按老师电话中的四项补充要求及对照页文档逐项验收。状态基于当前代码、接口和现有测试，不代表真实专家实验已经完成。</x:v>
      </x:c>
      <x:c r="G2" s="3" t="str">
        <x:v>用途：按老师电话中的四项补充要求及对照页文档逐项验收。状态基于当前代码、接口和现有测试，不代表真实专家实验已经完成。</x:v>
      </x:c>
      <x:c r="H2" s="3" t="str">
        <x:v>用途：按老师电话中的四项补充要求及对照页文档逐项验收。状态基于当前代码、接口和现有测试，不代表真实专家实验已经完成。</x:v>
      </x:c>
      <x:c r="I2" s="3" t="str">
        <x:v>用途：按老师电话中的四项补充要求及对照页文档逐项验收。状态基于当前代码、接口和现有测试，不代表真实专家实验已经完成。</x:v>
      </x:c>
      <x:c r="J2" s="3" t="str">
        <x:v>用途：按老师电话中的四项补充要求及对照页文档逐项验收。状态基于当前代码、接口和现有测试，不代表真实专家实验已经完成。</x:v>
      </x:c>
    </x:row>
    <x:row r="4" ht="30" customHeight="1">
      <x:c r="A4" s="9" t="str">
        <x:v>一级模块</x:v>
      </x:c>
      <x:c r="B4" s="9" t="str">
        <x:v>二级功能</x:v>
      </x:c>
      <x:c r="C4" s="9" t="str">
        <x:v>三级验收点</x:v>
      </x:c>
      <x:c r="D4" s="9" t="str">
        <x:v>当前状态</x:v>
      </x:c>
      <x:c r="E4" s="9" t="str">
        <x:v>是否满足老师要求</x:v>
      </x:c>
      <x:c r="F4" s="9" t="str">
        <x:v>代码/接口证据</x:v>
      </x:c>
      <x:c r="G4" s="9" t="str">
        <x:v>实际缺口</x:v>
      </x:c>
      <x:c r="H4" s="9" t="str">
        <x:v>验收方式</x:v>
      </x:c>
      <x:c r="I4" s="9" t="str">
        <x:v>优先级</x:v>
      </x:c>
      <x:c r="J4" s="9" t="str">
        <x:v>备注</x:v>
      </x:c>
    </x:row>
    <x:row r="5" ht="42" customHeight="1">
      <x:c r="A5" s="14" t="str">
        <x:v>实验片段</x:v>
      </x:c>
      <x:c r="B5" s="13" t="str">
        <x:v>15秒片段生成</x:v>
      </x:c>
      <x:c r="C5" s="13" t="str">
        <x:v>从已完成分离任务生成固定15秒WAV</x:v>
      </x:c>
      <x:c r="D5" s="15" t="str">
        <x:v>已完成</x:v>
      </x:c>
      <x:c r="E5" s="15" t="str">
        <x:v>是（基础）</x:v>
      </x:c>
      <x:c r="F5" s="13" t="str">
        <x:v>blind_samples.py: _write_15_second_clip; test_patent_integrity.py</x:v>
      </x:c>
      <x:c r="G5" s="13" t="str">
        <x:v>目前是管理员手动触发，不是完整实验批次流程</x:v>
      </x:c>
      <x:c r="H5" s="13" t="str">
        <x:v>生成后用ffprobe检查时长=15秒</x:v>
      </x:c>
      <x:c r="I5" s="15" t="str">
        <x:v>P0</x:v>
      </x:c>
      <x:c r="J5" s="13" t="str">
        <x:v>已通过现有测试</x:v>
      </x:c>
    </x:row>
    <x:row r="6" ht="42" customHeight="1">
      <x:c r="A6" s="14" t="str">
        <x:v>实验片段</x:v>
      </x:c>
      <x:c r="B6" s="13" t="str">
        <x:v>15秒片段生成</x:v>
      </x:c>
      <x:c r="C6" s="13" t="str">
        <x:v>同一时间片同时关联Mixture、Gold和四种算法结果</x:v>
      </x:c>
      <x:c r="D6" s="15" t="str">
        <x:v>部分完成</x:v>
      </x:c>
      <x:c r="E6" s="15" t="str">
        <x:v>否</x:v>
      </x:c>
      <x:c r="F6" s="13" t="str">
        <x:v>BlindSample关联task/stem；未见统一clip实体</x:v>
      </x:c>
      <x:c r="G6" s="13" t="str">
        <x:v>缺少片段级实验实体和完整关联</x:v>
      </x:c>
      <x:c r="H6" s="13" t="str">
        <x:v>随机抽一片段检查四类结果及Gold是否一一对应</x:v>
      </x:c>
      <x:c r="I6" s="15" t="str">
        <x:v>P0</x:v>
      </x:c>
      <x:c r="J6" s="13" t="str">
        <x:v>正式实验必须可追溯</x:v>
      </x:c>
    </x:row>
    <x:row r="7" ht="42" customHeight="1">
      <x:c r="A7" s="14" t="str">
        <x:v>实验片段</x:v>
      </x:c>
      <x:c r="B7" s="13" t="str">
        <x:v>片段抽样</x:v>
      </x:c>
      <x:c r="C7" s="13" t="str">
        <x:v>按实验方案随机抽样并记录随机种子</x:v>
      </x:c>
      <x:c r="D7" s="15" t="str">
        <x:v>未完成</x:v>
      </x:c>
      <x:c r="E7" s="15" t="str">
        <x:v>否</x:v>
      </x:c>
      <x:c r="F7" s="13" t="str">
        <x:v>生成逻辑按0、15、30秒顺序切片</x:v>
      </x:c>
      <x:c r="G7" s="13" t="str">
        <x:v>没有随机抽样、随机种子和可复现记录</x:v>
      </x:c>
      <x:c r="H7" s="13" t="str">
        <x:v>重复生成或查看实验记录，确认顺序和seed可复现</x:v>
      </x:c>
      <x:c r="I7" s="15" t="str">
        <x:v>P1</x:v>
      </x:c>
      <x:c r="J7" s="13" t="str">
        <x:v>电话中未强制随机，但双盲实验建议具备</x:v>
      </x:c>
    </x:row>
    <x:row r="8" ht="42" customHeight="1">
      <x:c r="A8" s="14" t="str">
        <x:v>盲化评分</x:v>
      </x:c>
      <x:c r="B8" s="13" t="str">
        <x:v>算法隐藏</x:v>
      </x:c>
      <x:c r="C8" s="13" t="str">
        <x:v>专家端不显示算法名称、任务ID、原文件名</x:v>
      </x:c>
      <x:c r="D8" s="15" t="str">
        <x:v>部分完成</x:v>
      </x:c>
      <x:c r="E8" s="15" t="str">
        <x:v>否</x:v>
      </x:c>
      <x:c r="F8" s="13" t="str">
        <x:v>blind_samples.py: list_blind_samples不返回映射字段</x:v>
      </x:c>
      <x:c r="G8" s="13" t="str">
        <x:v>专家普通工作台仍显示算法和当前分离结果</x:v>
      </x:c>
      <x:c r="H8" s="13" t="str">
        <x:v>专家登录后逐页检查DOM、截图和接口响应</x:v>
      </x:c>
      <x:c r="I8" s="15" t="str">
        <x:v>P0</x:v>
      </x:c>
      <x:c r="J8" s="13" t="str">
        <x:v>需独立盲化评分页面</x:v>
      </x:c>
    </x:row>
    <x:row r="9" ht="42" customHeight="1">
      <x:c r="A9" s="14" t="str">
        <x:v>盲化评分</x:v>
      </x:c>
      <x:c r="B9" s="13" t="str">
        <x:v>盲化分配</x:v>
      </x:c>
      <x:c r="C9" s="13" t="str">
        <x:v>每位专家按随机顺序获得盲化样本</x:v>
      </x:c>
      <x:c r="D9" s="15" t="str">
        <x:v>未完成</x:v>
      </x:c>
      <x:c r="E9" s="15" t="str">
        <x:v>否</x:v>
      </x:c>
      <x:c r="F9" s="13" t="str">
        <x:v>盲化编号使用secrets生成</x:v>
      </x:c>
      <x:c r="G9" s="13" t="str">
        <x:v>没有按专家分配、随机顺序和分配记录</x:v>
      </x:c>
      <x:c r="H9" s="13" t="str">
        <x:v>用两名专家账号检查样本顺序和分配表</x:v>
      </x:c>
      <x:c r="I9" s="15" t="str">
        <x:v>P0</x:v>
      </x:c>
      <x:c r="J9" s="13" t="str">
        <x:v>随机编号不等于随机分配</x:v>
      </x:c>
    </x:row>
    <x:row r="10" ht="42" customHeight="1">
      <x:c r="A10" s="14" t="str">
        <x:v>盲化评分</x:v>
      </x:c>
      <x:c r="B10" s="13" t="str">
        <x:v>防重复评分</x:v>
      </x:c>
      <x:c r="C10" s="13" t="str">
        <x:v>同一专家不能重复提交同一盲化样本</x:v>
      </x:c>
      <x:c r="D10" s="15" t="str">
        <x:v>已完成</x:v>
      </x:c>
      <x:c r="E10" s="15" t="str">
        <x:v>是</x:v>
      </x:c>
      <x:c r="F10" s="13" t="str">
        <x:v>blind_samples.py: user_id+blind_sample_id唯一约束及409校验</x:v>
      </x:c>
      <x:c r="G10" s="13" t="str">
        <x:v>需补前端已完成状态和管理员复核提示</x:v>
      </x:c>
      <x:c r="H10" s="13" t="str">
        <x:v>重复提交同一盲化编号，确认返回409且无新增记录</x:v>
      </x:c>
      <x:c r="I10" s="15" t="str">
        <x:v>P1</x:v>
      </x:c>
      <x:c r="J10" s="13" t="str">
        <x:v>基础逻辑已有</x:v>
      </x:c>
    </x:row>
    <x:row r="11" ht="42" customHeight="1">
      <x:c r="A11" s="14" t="str">
        <x:v>盲化评分</x:v>
      </x:c>
      <x:c r="B11" s="13" t="str">
        <x:v>目标声源</x:v>
      </x:c>
      <x:c r="C11" s="13" t="str">
        <x:v>专家可以知道目标声源，但不能推断算法</x:v>
      </x:c>
      <x:c r="D11" s="15" t="str">
        <x:v>部分完成</x:v>
      </x:c>
      <x:c r="E11" s="15" t="str">
        <x:v>待确认</x:v>
      </x:c>
      <x:c r="F11" s="13" t="str">
        <x:v>接口返回stem_name；前端显示声源</x:v>
      </x:c>
      <x:c r="G11" s="13" t="str">
        <x:v>样本编号、顺序和页面信息仍需检查是否泄漏来源</x:v>
      </x:c>
      <x:c r="H11" s="13" t="str">
        <x:v>检查盲化页面仅显示声源类型和盲化编号</x:v>
      </x:c>
      <x:c r="I11" s="15" t="str">
        <x:v>P1</x:v>
      </x:c>
      <x:c r="J11" s="13" t="str">
        <x:v>声源信息本身不应隐藏</x:v>
      </x:c>
    </x:row>
    <x:row r="12" ht="42" customHeight="1">
      <x:c r="A12" s="14" t="str">
        <x:v>专家评分</x:v>
      </x:c>
      <x:c r="B12" s="13" t="str">
        <x:v>分维度评分</x:v>
      </x:c>
      <x:c r="C12" s="13" t="str">
        <x:v>质量、干扰抑制、伪影控制分别评分</x:v>
      </x:c>
      <x:c r="D12" s="15" t="str">
        <x:v>已完成</x:v>
      </x:c>
      <x:c r="E12" s="15" t="str">
        <x:v>是</x:v>
      </x:c>
      <x:c r="F12" s="13" t="str">
        <x:v>StemScoreData及前端评分控件</x:v>
      </x:c>
      <x:c r="G12" s="13" t="str">
        <x:v>评分尺度与专利文档1-5分不一致</x:v>
      </x:c>
      <x:c r="H12" s="13" t="str">
        <x:v>专家填写三项后检查入库和导出</x:v>
      </x:c>
      <x:c r="I12" s="15" t="str">
        <x:v>P0</x:v>
      </x:c>
      <x:c r="J12" s="13" t="str">
        <x:v>当前系统实际为0-100</x:v>
      </x:c>
    </x:row>
    <x:row r="13" ht="42" customHeight="1">
      <x:c r="A13" s="14" t="str">
        <x:v>专家评分</x:v>
      </x:c>
      <x:c r="B13" s="13" t="str">
        <x:v>整体可接受度</x:v>
      </x:c>
      <x:c r="C13" s="13" t="str">
        <x:v>对每个15秒片段填写整体可接受度</x:v>
      </x:c>
      <x:c r="D13" s="15" t="str">
        <x:v>已完成</x:v>
      </x:c>
      <x:c r="E13" s="15" t="str">
        <x:v>是</x:v>
      </x:c>
      <x:c r="F13" s="13" t="str">
        <x:v>overall_acceptability字段及前端控件</x:v>
      </x:c>
      <x:c r="G13" s="13" t="str">
        <x:v>需统一1-5或0-100口径</x:v>
      </x:c>
      <x:c r="H13" s="13" t="str">
        <x:v>填写后检查导出列和统计结果</x:v>
      </x:c>
      <x:c r="I13" s="15" t="str">
        <x:v>P0</x:v>
      </x:c>
      <x:c r="J13" s="13" t="str">
        <x:v>不能与三项维度混淆</x:v>
      </x:c>
    </x:row>
    <x:row r="14" ht="42" customHeight="1">
      <x:c r="A14" s="14" t="str">
        <x:v>专家评分</x:v>
      </x:c>
      <x:c r="B14" s="13" t="str">
        <x:v>评分量表</x:v>
      </x:c>
      <x:c r="C14" s="13" t="str">
        <x:v>系统量表与专利、实验记录、导出文件保持一致</x:v>
      </x:c>
      <x:c r="D14" s="15" t="str">
        <x:v>未完成</x:v>
      </x:c>
      <x:c r="E14" s="15" t="str">
        <x:v>否</x:v>
      </x:c>
      <x:c r="F14" s="13" t="str">
        <x:v>专利S33写1-5；schemas.py限制0-100</x:v>
      </x:c>
      <x:c r="G14" s="13" t="str">
        <x:v>材料和系统存在口径冲突</x:v>
      </x:c>
      <x:c r="H14" s="13" t="str">
        <x:v>核对前端、Schema、CSV、说明书四处定义</x:v>
      </x:c>
      <x:c r="I14" s="15" t="str">
        <x:v>P0</x:v>
      </x:c>
      <x:c r="J14" s="13" t="str">
        <x:v>建议专家输入1-5，统计再归一化</x:v>
      </x:c>
    </x:row>
    <x:row r="15" ht="42" customHeight="1">
      <x:c r="A15" s="14" t="str">
        <x:v>问题标注</x:v>
      </x:c>
      <x:c r="B15" s="13" t="str">
        <x:v>标准标签</x:v>
      </x:c>
      <x:c r="C15" s="13" t="str">
        <x:v>按Vocals、Drums、Bass、Other维护标准标签</x:v>
      </x:c>
      <x:c r="D15" s="15" t="str">
        <x:v>已完成</x:v>
      </x:c>
      <x:c r="E15" s="15" t="str">
        <x:v>是（基础）</x:v>
      </x:c>
      <x:c r="F15" s="13" t="str">
        <x:v>standard-labels接口；SystemManagement标签库</x:v>
      </x:c>
      <x:c r="G15" s="13" t="str">
        <x:v>需由老师确认标签内容和术语</x:v>
      </x:c>
      <x:c r="H15" s="13" t="str">
        <x:v>管理员增删改查，专家按声源查看标签</x:v>
      </x:c>
      <x:c r="I15" s="15" t="str">
        <x:v>P1</x:v>
      </x:c>
      <x:c r="J15" s="13" t="str">
        <x:v>功能已有，内容需确认</x:v>
      </x:c>
    </x:row>
    <x:row r="16" ht="42" customHeight="1">
      <x:c r="A16" s="14" t="str">
        <x:v>问题标注</x:v>
      </x:c>
      <x:c r="B16" s="13" t="str">
        <x:v>问题时间</x:v>
      </x:c>
      <x:c r="C16" s="13" t="str">
        <x:v>问题开始和结束时间限制在0-15秒且开始早于结束</x:v>
      </x:c>
      <x:c r="D16" s="15" t="str">
        <x:v>已完成</x:v>
      </x:c>
      <x:c r="E16" s="15" t="str">
        <x:v>是</x:v>
      </x:c>
      <x:c r="F16" s="13" t="str">
        <x:v>schemas.py校验；前端number输入</x:v>
      </x:c>
      <x:c r="G16" s="13" t="str">
        <x:v>当前一条评分只有一组时间范围</x:v>
      </x:c>
      <x:c r="H16" s="13" t="str">
        <x:v>提交0、15.1、反向区间测试</x:v>
      </x:c>
      <x:c r="I16" s="15" t="str">
        <x:v>P1</x:v>
      </x:c>
      <x:c r="J16" s="13" t="str">
        <x:v>已有9项完整性测试覆盖</x:v>
      </x:c>
    </x:row>
    <x:row r="17" ht="42" customHeight="1">
      <x:c r="A17" s="14" t="str">
        <x:v>问题标注</x:v>
      </x:c>
      <x:c r="B17" s="13" t="str">
        <x:v>多问题标注</x:v>
      </x:c>
      <x:c r="C17" s="13" t="str">
        <x:v>同一声源可分别记录多个标签、多个起止时间和备注</x:v>
      </x:c>
      <x:c r="D17" s="15" t="str">
        <x:v>未完成</x:v>
      </x:c>
      <x:c r="E17" s="15" t="str">
        <x:v>否</x:v>
      </x:c>
      <x:c r="F17" s="13" t="str">
        <x:v>当前issue_tags数组与单组segment_start/end</x:v>
      </x:c>
      <x:c r="G17" s="13" t="str">
        <x:v>多个问题共用同一时间段，无法逐条定位</x:v>
      </x:c>
      <x:c r="H17" s="13" t="str">
        <x:v>在同一片段记录3个问题并导出3条明细</x:v>
      </x:c>
      <x:c r="I17" s="15" t="str">
        <x:v>P0</x:v>
      </x:c>
      <x:c r="J17" s="13" t="str">
        <x:v>建议独立issue_annotations表</x:v>
      </x:c>
    </x:row>
    <x:row r="18" ht="42" customHeight="1">
      <x:c r="A18" s="14" t="str">
        <x:v>问题标注</x:v>
      </x:c>
      <x:c r="B18" s="13" t="str">
        <x:v>自定义标签</x:v>
      </x:c>
      <x:c r="C18" s="13" t="str">
        <x:v>自定义标签与标准标签分开统计和导出</x:v>
      </x:c>
      <x:c r="D18" s="15" t="str">
        <x:v>部分完成</x:v>
      </x:c>
      <x:c r="E18" s="15" t="str">
        <x:v>待确认</x:v>
      </x:c>
      <x:c r="F18" s="13" t="str">
        <x:v>前端允许回车添加自定义标签；后端统一存issue_tags</x:v>
      </x:c>
      <x:c r="G18" s="13" t="str">
        <x:v>没有tag_type，无法区分标准/自定义</x:v>
      </x:c>
      <x:c r="H18" s="13" t="str">
        <x:v>分别选择和输入标签，检查导出字段</x:v>
      </x:c>
      <x:c r="I18" s="15" t="str">
        <x:v>P1</x:v>
      </x:c>
      <x:c r="J18" s="13" t="str">
        <x:v>建议增加tag_type</x:v>
      </x:c>
    </x:row>
    <x:row r="19" ht="42" customHeight="1">
      <x:c r="A19" s="14" t="str">
        <x:v>专家评分</x:v>
      </x:c>
      <x:c r="B19" s="13" t="str">
        <x:v>主观可靠性</x:v>
      </x:c>
      <x:c r="C19" s="13" t="str">
        <x:v>专家填写本次判断的可靠性并限制范围</x:v>
      </x:c>
      <x:c r="D19" s="15" t="str">
        <x:v>已完成</x:v>
      </x:c>
      <x:c r="E19" s="15" t="str">
        <x:v>是（基础）</x:v>
      </x:c>
      <x:c r="F19" s="13" t="str">
        <x:v>reliability字段、前端滑块、Schema范围校验</x:v>
      </x:c>
      <x:c r="G19" s="13" t="str">
        <x:v>可靠性定义和统计用途尚未明确</x:v>
      </x:c>
      <x:c r="H19" s="13" t="str">
        <x:v>提交0、100、101并检查结果</x:v>
      </x:c>
      <x:c r="I19" s="15" t="str">
        <x:v>P1</x:v>
      </x:c>
      <x:c r="J19" s="13" t="str">
        <x:v>当前为0-100</x:v>
      </x:c>
    </x:row>
    <x:row r="20" ht="42" customHeight="1">
      <x:c r="A20" s="14" t="str">
        <x:v>专家评分</x:v>
      </x:c>
      <x:c r="B20" s="13" t="str">
        <x:v>多轨试听</x:v>
      </x:c>
      <x:c r="C20" s="13" t="str">
        <x:v>Mixture、Gold、目标Stem同步播放和统一时间轴</x:v>
      </x:c>
      <x:c r="D20" s="15" t="str">
        <x:v>已完成</x:v>
      </x:c>
      <x:c r="E20" s="15" t="str">
        <x:v>是（基础）</x:v>
      </x:c>
      <x:c r="F20" s="13" t="str">
        <x:v>App.js syncedCurrentTime、seekAll、StemPlayer</x:v>
      </x:c>
      <x:c r="G20" s="13" t="str">
        <x:v>需用真实音频现场确认所有轨道同步</x:v>
      </x:c>
      <x:c r="H20" s="13" t="str">
        <x:v>播放、暂停、跳转时比较三路时间</x:v>
      </x:c>
      <x:c r="I20" s="15" t="str">
        <x:v>P1</x:v>
      </x:c>
      <x:c r="J20" s="13" t="str">
        <x:v>代码已有同步机制</x:v>
      </x:c>
    </x:row>
    <x:row r="21" ht="42" customHeight="1">
      <x:c r="A21" s="14" t="str">
        <x:v>专家评分</x:v>
      </x:c>
      <x:c r="B21" s="13" t="str">
        <x:v>局部循环</x:v>
      </x:c>
      <x:c r="C21" s="13" t="str">
        <x:v>框选问题区间后支持局部循环试听</x:v>
      </x:c>
      <x:c r="D21" s="15" t="str">
        <x:v>未完成</x:v>
      </x:c>
      <x:c r="E21" s="15" t="str">
        <x:v>否</x:v>
      </x:c>
      <x:c r="F21" s="13" t="str">
        <x:v>未发现明确loop/局部循环状态或控制逻辑</x:v>
      </x:c>
      <x:c r="G21" s="13" t="str">
        <x:v>电话和对照页S33明确要求，但当前缺失</x:v>
      </x:c>
      <x:c r="H21" s="13" t="str">
        <x:v>框选2-3秒并连续循环播放</x:v>
      </x:c>
      <x:c r="I21" s="15" t="str">
        <x:v>P0</x:v>
      </x:c>
      <x:c r="J21" s="13" t="str">
        <x:v>必须补</x:v>
      </x:c>
    </x:row>
    <x:row r="22" ht="42" customHeight="1">
      <x:c r="A22" s="14" t="str">
        <x:v>专家评分</x:v>
      </x:c>
      <x:c r="B22" s="13" t="str">
        <x:v>提交方式</x:v>
      </x:c>
      <x:c r="C22" s="13" t="str">
        <x:v>一次性提交同一片段四个Stem的评分，或有清晰进度</x:v>
      </x:c>
      <x:c r="D22" s="15" t="str">
        <x:v>部分完成</x:v>
      </x:c>
      <x:c r="E22" s="15" t="str">
        <x:v>待确认</x:v>
      </x:c>
      <x:c r="F22" s="13" t="str">
        <x:v>后端有ScoreCreateBatch；前端按钮提交当前Stem</x:v>
      </x:c>
      <x:c r="G22" s="13" t="str">
        <x:v>前后端批量能力未接通，容易漏评</x:v>
      </x:c>
      <x:c r="H22" s="13" t="str">
        <x:v>填写一个片段四个Stem，确认一次提交或进度完整</x:v>
      </x:c>
      <x:c r="I22" s="15" t="str">
        <x:v>P1</x:v>
      </x:c>
      <x:c r="J22" s="13" t="str">
        <x:v>建议显示4/4进度</x:v>
      </x:c>
    </x:row>
    <x:row r="23" ht="42" customHeight="1">
      <x:c r="A23" s="14" t="str">
        <x:v>客观评估</x:v>
      </x:c>
      <x:c r="B23" s="13" t="str">
        <x:v>指标计算</x:v>
      </x:c>
      <x:c r="C23" s="13" t="str">
        <x:v>计算SDR、SIR、SAR、SI-SDR</x:v>
      </x:c>
      <x:c r="D23" s="15" t="str">
        <x:v>已完成</x:v>
      </x:c>
      <x:c r="E23" s="15" t="str">
        <x:v>是（基础）</x:v>
      </x:c>
      <x:c r="F23" s="13" t="str">
        <x:v>tasks.py objective-metrics及batch接口</x:v>
      </x:c>
      <x:c r="G23" s="13" t="str">
        <x:v>需要确认每个片段、每个声源都实际写入</x:v>
      </x:c>
      <x:c r="H23" s="13" t="str">
        <x:v>用同一片段和Gold检查四项指标</x:v>
      </x:c>
      <x:c r="I23" s="15" t="str">
        <x:v>P0</x:v>
      </x:c>
      <x:c r="J23" s="13" t="str">
        <x:v>接口能力已有</x:v>
      </x:c>
    </x:row>
    <x:row r="24" ht="42" customHeight="1">
      <x:c r="A24" s="14" t="str">
        <x:v>客观评估</x:v>
      </x:c>
      <x:c r="B24" s="13" t="str">
        <x:v>片段级明细</x:v>
      </x:c>
      <x:c r="C24" s="13" t="str">
        <x:v>四算法×每片段×每声源均有客观指标明细</x:v>
      </x:c>
      <x:c r="D24" s="15" t="str">
        <x:v>部分完成</x:v>
      </x:c>
      <x:c r="E24" s="15" t="str">
        <x:v>否</x:v>
      </x:c>
      <x:c r="F24" s="13" t="str">
        <x:v>任务级指标和算法聚合统计接口</x:v>
      </x:c>
      <x:c r="G24" s="13" t="str">
        <x:v>当前导出主要是算法聚合，不是完整明细矩阵</x:v>
      </x:c>
      <x:c r="H24" s="13" t="str">
        <x:v>检查导出行数=片段数×算法数×声源数</x:v>
      </x:c>
      <x:c r="I24" s="15" t="str">
        <x:v>P0</x:v>
      </x:c>
      <x:c r="J24" s="13" t="str">
        <x:v>老师明确提出</x:v>
      </x:c>
    </x:row>
    <x:row r="25" ht="42" customHeight="1">
      <x:c r="A25" s="14" t="str">
        <x:v>客观评估</x:v>
      </x:c>
      <x:c r="B25" s="13" t="str">
        <x:v>重复推理</x:v>
      </x:c>
      <x:c r="C25" s="13" t="str">
        <x:v>同一片段多次推理并保存均值、标准差或区间</x:v>
      </x:c>
      <x:c r="D25" s="15" t="str">
        <x:v>未完成</x:v>
      </x:c>
      <x:c r="E25" s="15" t="str">
        <x:v>否</x:v>
      </x:c>
      <x:c r="F25" s="13" t="str">
        <x:v>文档S23/S24有描述；未发现完整重复推理记录</x:v>
      </x:c>
      <x:c r="G25" s="13" t="str">
        <x:v>无法证明误差区间来自真实重复实验</x:v>
      </x:c>
      <x:c r="H25" s="13" t="str">
        <x:v>重复运行同片段并检查原始样本与区间</x:v>
      </x:c>
      <x:c r="I25" s="15" t="str">
        <x:v>P1</x:v>
      </x:c>
      <x:c r="J25" s="13" t="str">
        <x:v>如专利继续保留该描述需实现</x:v>
      </x:c>
    </x:row>
    <x:row r="26" ht="42" customHeight="1">
      <x:c r="A26" s="14" t="str">
        <x:v>客观评估</x:v>
      </x:c>
      <x:c r="B26" s="13" t="str">
        <x:v>可靠性编码</x:v>
      </x:c>
      <x:c r="C26" s="13" t="str">
        <x:v>按误差区间显示高、中、低可靠性并可导出</x:v>
      </x:c>
      <x:c r="D26" s="15" t="str">
        <x:v>部分完成</x:v>
      </x:c>
      <x:c r="E26" s="15" t="str">
        <x:v>待确认</x:v>
      </x:c>
      <x:c r="F26" s="13" t="str">
        <x:v>文档S24/S25有描述；代码中未确认完整UI闭环</x:v>
      </x:c>
      <x:c r="G26" s="13" t="str">
        <x:v>需检查前端颜色编码和导出字段</x:v>
      </x:c>
      <x:c r="H26" s="13" t="str">
        <x:v>构造高/中/低区间样本查看颜色和CSV</x:v>
      </x:c>
      <x:c r="I26" s="15" t="str">
        <x:v>P1</x:v>
      </x:c>
      <x:c r="J26" s="13" t="str">
        <x:v>不要只在文档中描述</x:v>
      </x:c>
    </x:row>
    <x:row r="27" ht="42" customHeight="1">
      <x:c r="A27" s="14" t="str">
        <x:v>数据导出</x:v>
      </x:c>
      <x:c r="B27" s="13" t="str">
        <x:v>主观评分CSV</x:v>
      </x:c>
      <x:c r="C27" s="13" t="str">
        <x:v>管理员导出所有专家的逐条主观评分</x:v>
      </x:c>
      <x:c r="D27" s="15" t="str">
        <x:v>已完成</x:v>
      </x:c>
      <x:c r="E27" s="15" t="str">
        <x:v>是</x:v>
      </x:c>
      <x:c r="F27" s="13" t="str">
        <x:v>scores.py /api/scores/export；AdminApproval导出按钮</x:v>
      </x:c>
      <x:c r="G27" s="13" t="str">
        <x:v>需确认多问题标注改造后仍逐条导出</x:v>
      </x:c>
      <x:c r="H27" s="13" t="str">
        <x:v>导出后核对专家、片段、Stem、维度、标签和时间</x:v>
      </x:c>
      <x:c r="I27" s="15" t="str">
        <x:v>P0</x:v>
      </x:c>
      <x:c r="J27" s="13" t="str">
        <x:v>基础导出已有</x:v>
      </x:c>
    </x:row>
    <x:row r="28" ht="42" customHeight="1">
      <x:c r="A28" s="14" t="str">
        <x:v>数据导出</x:v>
      </x:c>
      <x:c r="B28" s="13" t="str">
        <x:v>客观明细CSV</x:v>
      </x:c>
      <x:c r="C28" s="13" t="str">
        <x:v>管理员导出四算法所有片段和声源的SDR等明细</x:v>
      </x:c>
      <x:c r="D28" s="15" t="str">
        <x:v>部分完成</x:v>
      </x:c>
      <x:c r="E28" s="15" t="str">
        <x:v>否</x:v>
      </x:c>
      <x:c r="F28" s="13" t="str">
        <x:v>tasks.py /stats/objective/export</x:v>
      </x:c>
      <x:c r="G28" s="13" t="str">
        <x:v>当前接口按算法聚合，且入口主要在统计页</x:v>
      </x:c>
      <x:c r="H28" s="13" t="str">
        <x:v>导出后逐行核对片段、算法、Stem和指标</x:v>
      </x:c>
      <x:c r="I28" s="15" t="str">
        <x:v>P0</x:v>
      </x:c>
      <x:c r="J28" s="13" t="str">
        <x:v>需要新增实验数据包导出</x:v>
      </x:c>
    </x:row>
    <x:row r="29" ht="42" customHeight="1">
      <x:c r="A29" s="14" t="str">
        <x:v>数据导出</x:v>
      </x:c>
      <x:c r="B29" s="13" t="str">
        <x:v>完整实验包</x:v>
      </x:c>
      <x:c r="C29" s="13" t="str">
        <x:v>一次导出主观、客观、盲化映射、模型版本和元数据</x:v>
      </x:c>
      <x:c r="D29" s="15" t="str">
        <x:v>部分完成</x:v>
      </x:c>
      <x:c r="E29" s="15" t="str">
        <x:v>待确认</x:v>
      </x:c>
      <x:c r="F29" s="13" t="str">
        <x:v>tasks.py /stats/export-package包含部分客观/显著性/版本</x:v>
      </x:c>
      <x:c r="G29" s="13" t="str">
        <x:v>未确认包含逐条主观、盲化映射和片段明细</x:v>
      </x:c>
      <x:c r="H29" s="13" t="str">
        <x:v>解压ZIP检查文件清单和关联键</x:v>
      </x:c>
      <x:c r="I29" s="15" t="str">
        <x:v>P1</x:v>
      </x:c>
      <x:c r="J29" s="13" t="str">
        <x:v>建议固定CSV字段和版本</x:v>
      </x:c>
    </x:row>
    <x:row r="30" ht="42" customHeight="1">
      <x:c r="A30" s="14" t="str">
        <x:v>数据导出</x:v>
      </x:c>
      <x:c r="B30" s="13" t="str">
        <x:v>数据权限</x:v>
      </x:c>
      <x:c r="C30" s="13" t="str">
        <x:v>专家不能导出或读取真实算法映射，管理员可查看</x:v>
      </x:c>
      <x:c r="D30" s="15" t="str">
        <x:v>部分完成</x:v>
      </x:c>
      <x:c r="E30" s="15" t="str">
        <x:v>否</x:v>
      </x:c>
      <x:c r="F30" s="13" t="str">
        <x:v>blind_samples.py区分普通列表和admin/mapping</x:v>
      </x:c>
      <x:c r="G30" s="13" t="str">
        <x:v>部分客观导出接口未见管理员鉴权，需复核权限边界</x:v>
      </x:c>
      <x:c r="H30" s="13" t="str">
        <x:v>专家Token访问所有导出接口，确认不得到映射和管理数据</x:v>
      </x:c>
      <x:c r="I30" s="15" t="str">
        <x:v>P0</x:v>
      </x:c>
      <x:c r="J30" s="13" t="str">
        <x:v>这是业务权限问题</x:v>
      </x:c>
    </x:row>
    <x:row r="31" ht="42" customHeight="1">
      <x:c r="A31" s="14" t="str">
        <x:v>多专家质量</x:v>
      </x:c>
      <x:c r="B31" s="13" t="str">
        <x:v>一致性检验</x:v>
      </x:c>
      <x:c r="C31" s="13" t="str">
        <x:v>计算多专家评分一致性并按阈值提示重评</x:v>
      </x:c>
      <x:c r="D31" s="15" t="str">
        <x:v>未完成</x:v>
      </x:c>
      <x:c r="E31" s="15" t="str">
        <x:v>否</x:v>
      </x:c>
      <x:c r="F31" s="13" t="str">
        <x:v>专利S51描述Kendall；代码未发现实现</x:v>
      </x:c>
      <x:c r="G31" s="13" t="str">
        <x:v>没有Kendall和谐系数及重评分流程</x:v>
      </x:c>
      <x:c r="H31" s="13" t="str">
        <x:v>准备同片段多专家数据，核对系数和提示</x:v>
      </x:c>
      <x:c r="I31" s="15" t="str">
        <x:v>P1</x:v>
      </x:c>
      <x:c r="J31" s="13" t="str">
        <x:v>文档权利要求涉及</x:v>
      </x:c>
    </x:row>
    <x:row r="32" ht="42" customHeight="1">
      <x:c r="A32" s="14" t="str">
        <x:v>多专家质量</x:v>
      </x:c>
      <x:c r="B32" s="13" t="str">
        <x:v>异常值处理</x:v>
      </x:c>
      <x:c r="C32" s="13" t="str">
        <x:v>标记异常值并计算有效评分均值，不删除原始数据</x:v>
      </x:c>
      <x:c r="D32" s="15" t="str">
        <x:v>未完成</x:v>
      </x:c>
      <x:c r="E32" s="15" t="str">
        <x:v>否</x:v>
      </x:c>
      <x:c r="F32" s="13" t="str">
        <x:v>专利S52描述2倍标准差；代码未发现实现</x:v>
      </x:c>
      <x:c r="G32" s="13" t="str">
        <x:v>没有outlier标记、纳入最终均值和审计记录</x:v>
      </x:c>
      <x:c r="H32" s="13" t="str">
        <x:v>构造极端评分，核对原始/有效/最终三组数据</x:v>
      </x:c>
      <x:c r="I32" s="15" t="str">
        <x:v>P1</x:v>
      </x:c>
      <x:c r="J32" s="13" t="str">
        <x:v>建议先标记再人工确认</x:v>
      </x:c>
    </x:row>
    <x:row r="33" ht="42" customHeight="1">
      <x:c r="A33" s="14" t="str">
        <x:v>模型优化</x:v>
      </x:c>
      <x:c r="B33" s="13" t="str">
        <x:v>主观反馈入训</x:v>
      </x:c>
      <x:c r="C33" s="13" t="str">
        <x:v>按声源和问题时间生成加权损失并触发增量训练</x:v>
      </x:c>
      <x:c r="D33" s="15" t="str">
        <x:v>未完成</x:v>
      </x:c>
      <x:c r="E33" s="15" t="str">
        <x:v>否</x:v>
      </x:c>
      <x:c r="F33" s="13" t="str">
        <x:v>当前主要保存、统计和导出评分</x:v>
      </x:c>
      <x:c r="G33" s="13" t="str">
        <x:v>未形成评分到训练的闭环</x:v>
      </x:c>
      <x:c r="H33" s="13" t="str">
        <x:v>用一批真实评分生成训练配置并保存新模型版本</x:v>
      </x:c>
      <x:c r="I33" s="15" t="str">
        <x:v>P2</x:v>
      </x:c>
      <x:c r="J33" s="13" t="str">
        <x:v>若专利保留S4需补证据</x:v>
      </x:c>
    </x:row>
    <x:row r="34" ht="42" customHeight="1">
      <x:c r="A34" s="14" t="str">
        <x:v>实验管理</x:v>
      </x:c>
      <x:c r="B34" s="13" t="str">
        <x:v>真实数据</x:v>
      </x:c>
      <x:c r="C34" s="13" t="str">
        <x:v>三位专家对真实片段试听并产生真实评分</x:v>
      </x:c>
      <x:c r="D34" s="15" t="str">
        <x:v>未完成</x:v>
      </x:c>
      <x:c r="E34" s="15" t="str">
        <x:v>否</x:v>
      </x:c>
      <x:c r="F34" s="13" t="str">
        <x:v>当前无真实实验数据可验证</x:v>
      </x:c>
      <x:c r="G34" s="13" t="str">
        <x:v>不能用随机数据替代真实评分</x:v>
      </x:c>
      <x:c r="H34" s="13" t="str">
        <x:v>三位专家完成同一实验批次并检查覆盖率</x:v>
      </x:c>
      <x:c r="I34" s="15" t="str">
        <x:v>P0</x:v>
      </x:c>
      <x:c r="J34" s="13" t="str">
        <x:v>电话中明确要求真实数据</x:v>
      </x:c>
    </x:row>
    <x:row r="35" ht="42" customHeight="1">
      <x:c r="A35" s="14" t="str">
        <x:v>实验管理</x:v>
      </x:c>
      <x:c r="B35" s="13" t="str">
        <x:v>覆盖率检查</x:v>
      </x:c>
      <x:c r="C35" s="13" t="str">
        <x:v>所有目标片段、算法、声源达到预设评分数量后才允许导出结论</x:v>
      </x:c>
      <x:c r="D35" s="15" t="str">
        <x:v>未完成</x:v>
      </x:c>
      <x:c r="E35" s="15" t="str">
        <x:v>否</x:v>
      </x:c>
      <x:c r="F35" s="13" t="str">
        <x:v>未发现完整覆盖率门禁</x:v>
      </x:c>
      <x:c r="G35" s="13" t="str">
        <x:v>可能出现漏评、单算法样本不足却可导出</x:v>
      </x:c>
      <x:c r="H35" s="13" t="str">
        <x:v>缺少任一组合时导出应提示未完成</x:v>
      </x:c>
      <x:c r="I35" s="15" t="str">
        <x:v>P1</x:v>
      </x:c>
      <x:c r="J35" s="13" t="str">
        <x:v>建议管理员看板化</x:v>
      </x:c>
    </x:row>
    <x:row r="36" ht="42" customHeight="1">
      <x:c r="A36" s="14" t="str">
        <x:v>版本与追溯</x:v>
      </x:c>
      <x:c r="B36" s="13" t="str">
        <x:v>模型版本</x:v>
      </x:c>
      <x:c r="C36" s="13" t="str">
        <x:v>每条客观数据记录算法版本、参数和生成时间</x:v>
      </x:c>
      <x:c r="D36" s="15" t="str">
        <x:v>部分完成</x:v>
      </x:c>
      <x:c r="E36" s="15" t="str">
        <x:v>待确认</x:v>
      </x:c>
      <x:c r="F36" s="13" t="str">
        <x:v>导出包有model_versions；任务字段需核对</x:v>
      </x:c>
      <x:c r="G36" s="13" t="str">
        <x:v>未确认指标明细与模型版本逐条关联</x:v>
      </x:c>
      <x:c r="H36" s="13" t="str">
        <x:v>更换版本后检查导出是否可区分</x:v>
      </x:c>
      <x:c r="I36" s="15" t="str">
        <x:v>P1</x:v>
      </x:c>
      <x:c r="J36" s="13" t="str">
        <x:v>专利实验需要可复现</x:v>
      </x:c>
    </x:row>
    <x:row r="37" ht="42" customHeight="1">
      <x:c r="A37" s="14" t="str">
        <x:v>交付验证</x:v>
      </x:c>
      <x:c r="B37" s="13" t="str">
        <x:v>线上部署</x:v>
      </x:c>
      <x:c r="C37" s="13" t="str">
        <x:v>线上页面加载本次最新构建而不是旧静态文件</x:v>
      </x:c>
      <x:c r="D37" s="15" t="str">
        <x:v>未完成</x:v>
      </x:c>
      <x:c r="E37" s="15" t="str">
        <x:v>否</x:v>
      </x:c>
      <x:c r="F37" s="13" t="str">
        <x:v>线上曾加载main.31a4256e.js，本地最新构建已变化</x:v>
      </x:c>
      <x:c r="G37" s="13" t="str">
        <x:v>SSH主机名无法解析，尚未部署线上</x:v>
      </x:c>
      <x:c r="H37" s="13" t="str">
        <x:v>比较线上和本地index.html的main.js哈希</x:v>
      </x:c>
      <x:c r="I37" s="15" t="str">
        <x:v>P0</x:v>
      </x:c>
      <x:c r="J37" s="13" t="str">
        <x:v>代码完成不等于线上完成</x:v>
      </x:c>
    </x:row>
  </x:sheetData>
  <x:mergeCells>
    <x:mergeCell ref="A1:J1"/>
    <x:mergeCell ref="A2:J2"/>
  </x:mergeCells>
  <x:conditionalFormatting sqref="D5:D37">
    <x:cfRule type="containsText" dxfId="0" priority="1" operator="containsText" text="已完成"/>
    <x:cfRule type="containsText" dxfId="1" priority="2" operator="containsText" text="部分完成"/>
    <x:cfRule type="containsText" dxfId="2" priority="3" operator="containsText" text="未完成"/>
  </x:conditionalFormatting>
  <x:conditionalFormatting sqref="E5:E37">
    <x:cfRule type="containsText" dxfId="3" priority="4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291bc81307fe48c6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4" hidden="0" customWidth="1"/>
    <x:col min="3" max="3" width="14" hidden="0" customWidth="1"/>
    <x:col min="4" max="4" width="34" hidden="0" customWidth="1"/>
  </x:cols>
  <x:sheetData>
    <x:row r="1">
      <x:c r="A1" s="9" t="str">
        <x:v>判定说明</x:v>
      </x:c>
      <x:c r="B1" s="9" t="str">
        <x:v>定义</x:v>
      </x:c>
      <x:c r="C1" s="9" t="str">
        <x:v>当前数量</x:v>
      </x:c>
      <x:c r="D1" s="9" t="str">
        <x:v>使用方式</x:v>
      </x:c>
    </x:row>
    <x:row r="2">
      <x:c r="A2" s="19" t="str">
        <x:v>已完成</x:v>
      </x:c>
      <x:c r="B2" s="19" t="str">
        <x:v>代码、接口、前端入口和基础测试能够证明功能已存在</x:v>
      </x:c>
      <x:c r="C2" s="19" t="n">
        <x:f>COUNTIF('三级功能核对表'!D5:D100,"已完成")</x:f>
        <x:v>10</x:v>
      </x:c>
      <x:c r="D2" s="19" t="str">
        <x:v>可以进入现场验收，但仍需用真实数据验证</x:v>
      </x:c>
    </x:row>
    <x:row r="3">
      <x:c r="A3" s="19" t="str">
        <x:v>部分完成</x:v>
      </x:c>
      <x:c r="B3" s="19" t="str">
        <x:v>有局部实现，但业务流程、权限、明细或前后端衔接不完整</x:v>
      </x:c>
      <x:c r="C3" s="19" t="n">
        <x:f>COUNTIF('三级功能核对表'!D5:D100,"部分完成")</x:f>
        <x:v>11</x:v>
      </x:c>
      <x:c r="D3" s="19" t="str">
        <x:v>不能直接对老师宣称完整完成</x:v>
      </x:c>
    </x:row>
    <x:row r="4">
      <x:c r="A4" s="19" t="str">
        <x:v>未完成</x:v>
      </x:c>
      <x:c r="B4" s="19" t="str">
        <x:v>没有可运行实现，或只有专利文字/接口雏形而无闭环</x:v>
      </x:c>
      <x:c r="C4" s="19" t="n">
        <x:f>COUNTIF('三级功能核对表'!D5:D100,"未完成")</x:f>
        <x:v>12</x:v>
      </x:c>
      <x:c r="D4" s="19" t="str">
        <x:v>必须补功能或调整专利表述</x:v>
      </x:c>
    </x:row>
    <x:row r="5">
      <x:c r="A5" s="19" t="str">
        <x:v>是</x:v>
      </x:c>
      <x:c r="B5" s="19" t="str">
        <x:v>满足电话中对应的最低功能要求</x:v>
      </x:c>
      <x:c r="C5" s="19" t="n">
        <x:f>COUNTIF('三级功能核对表'!E5:E100,"是*")</x:f>
        <x:v>0</x:v>
      </x:c>
      <x:c r="D5" s="19" t="str">
        <x:v>通过现场验收后才可作为已交付项</x:v>
      </x:c>
    </x:row>
    <x:row r="6">
      <x:c r="A6" s="19" t="str">
        <x:v>否</x:v>
      </x:c>
      <x:c r="B6" s="19" t="str">
        <x:v>不能满足电话中对应要求</x:v>
      </x:c>
      <x:c r="C6" s="19" t="n">
        <x:f>COUNTIF('三级功能核对表'!E5:E100,"否")</x:f>
        <x:v>17</x:v>
      </x:c>
      <x:c r="D6" s="19" t="str">
        <x:v>优先处理P0项</x:v>
      </x:c>
    </x:row>
    <x:row r="7">
      <x:c r="A7" s="19" t="str">
        <x:v>P0</x:v>
      </x:c>
      <x:c r="B7" s="19" t="str">
        <x:v>影响双盲实验、真实数据、片段明细导出或线上交付</x:v>
      </x:c>
      <x:c r="C7" s="19" t="n">
        <x:f>COUNTIF('三级功能核对表'!I5:I100,"P0")</x:f>
        <x:v>16</x:v>
      </x:c>
      <x:c r="D7" s="19" t="str">
        <x:v>重新提交或实验前必须完成</x:v>
      </x:c>
    </x:row>
    <x:row r="9" ht="48" customHeight="1">
      <x:c r="A9" s="24" t="str">
        <x:v>本次核对结论</x:v>
      </x:c>
      <x:c r="B9" s="24" t="str">
        <x:v>当前项目可以证明若干基础能力，但严格双盲、片段级客观明细、局部循环、多问题标注、多专家质量控制和真实三专家数据仍未形成完整闭环。</x:v>
      </x:c>
      <x:c r="C9" s="24" t="str"/>
      <x:c r="D9" s="24" t="str"/>
    </x:row>
  </x:sheetData>
  <x:mergeCells>
    <x:mergeCell ref="B9:D9"/>
  </x:mergeCells>
  <x:pageMargins left="0.7" right="0.7" top="0.75" bottom="0.75" header="0.3" footer="0.3"/>
</x:worksheet>
</file>